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ля УП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40" customWidth="1" min="3" max="3"/>
    <col width="8" customWidth="1" min="4" max="4"/>
    <col width="15" customWidth="1" min="5" max="5"/>
    <col width="15" customWidth="1" min="6" max="6"/>
    <col width="17" customWidth="1" min="7" max="7"/>
    <col width="9" customWidth="1" min="8" max="8"/>
    <col width="13" customWidth="1" min="9" max="9"/>
    <col width="17" customWidth="1" min="10" max="10"/>
  </cols>
  <sheetData>
    <row r="1">
      <c r="K1" s="1" t="inlineStr">
        <is>
          <t>Ставка НДС →</t>
        </is>
      </c>
      <c r="L1" s="2" t="n">
        <v>0.22</v>
      </c>
    </row>
    <row r="2">
      <c r="A2" s="3" t="inlineStr">
        <is>
          <t>№ п/п</t>
        </is>
      </c>
      <c r="B2" s="3" t="inlineStr">
        <is>
          <t>Артикул</t>
        </is>
      </c>
      <c r="C2" s="3" t="inlineStr">
        <is>
          <t>Наименование</t>
        </is>
      </c>
      <c r="D2" s="3" t="inlineStr">
        <is>
          <t>Кол-во</t>
        </is>
      </c>
      <c r="E2" s="3" t="inlineStr">
        <is>
          <t>Цена с НДС, ₽/ед</t>
        </is>
      </c>
      <c r="F2" s="3" t="inlineStr">
        <is>
          <t>Цена без НДС, ₽/ед</t>
        </is>
      </c>
      <c r="G2" s="3" t="inlineStr">
        <is>
          <t>Стоимость без НДС, ₽</t>
        </is>
      </c>
      <c r="H2" s="3" t="inlineStr">
        <is>
          <t>Ставка НДС</t>
        </is>
      </c>
      <c r="I2" s="3" t="inlineStr">
        <is>
          <t>Сумма НДС, ₽</t>
        </is>
      </c>
      <c r="J2" s="3" t="inlineStr">
        <is>
          <t>Стоимость с НДС, ₽</t>
        </is>
      </c>
    </row>
    <row r="3">
      <c r="A3" t="n">
        <v>1</v>
      </c>
      <c r="B3" t="inlineStr">
        <is>
          <t>04152YZZA1</t>
        </is>
      </c>
      <c r="C3" t="inlineStr">
        <is>
          <t>Фильтр масляный TOYOTA 04152-YZZA1</t>
        </is>
      </c>
      <c r="D3" t="n">
        <v>1</v>
      </c>
      <c r="E3" s="4" t="n">
        <v>383.57</v>
      </c>
      <c r="F3" s="4">
        <f>E3/(1+$L$1)</f>
        <v/>
      </c>
      <c r="G3" s="4">
        <f>F3*D3</f>
        <v/>
      </c>
      <c r="H3" s="2" t="n">
        <v>0.22</v>
      </c>
      <c r="I3" s="4">
        <f>G3*$L$1</f>
        <v/>
      </c>
      <c r="J3" s="4">
        <f>G3+I3</f>
        <v/>
      </c>
    </row>
    <row r="4">
      <c r="A4" t="n">
        <v>2</v>
      </c>
      <c r="B4" t="inlineStr">
        <is>
          <t>04152YZZA1</t>
        </is>
      </c>
      <c r="C4" t="inlineStr">
        <is>
          <t>Фильтр масляный TOYOTA 04152-YZZA1</t>
        </is>
      </c>
      <c r="D4" t="n">
        <v>4</v>
      </c>
      <c r="E4" s="4" t="n">
        <v>383.57</v>
      </c>
      <c r="F4" s="4">
        <f>E4/(1+$L$1)</f>
        <v/>
      </c>
      <c r="G4" s="4">
        <f>F4*D4</f>
        <v/>
      </c>
      <c r="H4" s="2" t="n">
        <v>0.22</v>
      </c>
      <c r="I4" s="4">
        <f>G4*$L$1</f>
        <v/>
      </c>
      <c r="J4" s="4">
        <f>G4+I4</f>
        <v/>
      </c>
    </row>
    <row r="5">
      <c r="A5" t="n">
        <v>3</v>
      </c>
      <c r="B5" t="inlineStr">
        <is>
          <t>04152YZZA1</t>
        </is>
      </c>
      <c r="C5" t="inlineStr">
        <is>
          <t>Фильтр масляный TOYOTA 04152-YZZA1</t>
        </is>
      </c>
      <c r="D5" t="n">
        <v>1</v>
      </c>
      <c r="E5" s="4" t="n">
        <v>383.57</v>
      </c>
      <c r="F5" s="4">
        <f>E5/(1+$L$1)</f>
        <v/>
      </c>
      <c r="G5" s="4">
        <f>F5*D5</f>
        <v/>
      </c>
      <c r="H5" s="2" t="n">
        <v>0.22</v>
      </c>
      <c r="I5" s="4">
        <f>G5*$L$1</f>
        <v/>
      </c>
      <c r="J5" s="4">
        <f>G5+I5</f>
        <v/>
      </c>
    </row>
    <row r="6">
      <c r="A6" t="n">
        <v>4</v>
      </c>
      <c r="B6" t="inlineStr">
        <is>
          <t>04152YZZA5</t>
        </is>
      </c>
      <c r="C6" t="inlineStr">
        <is>
          <t>Фильтр масляный (с втулкой) TOYOTA 04152-YZZA5</t>
        </is>
      </c>
      <c r="D6" t="n">
        <v>1</v>
      </c>
      <c r="E6" s="4" t="n">
        <v>397.27</v>
      </c>
      <c r="F6" s="4">
        <f>E6/(1+$L$1)</f>
        <v/>
      </c>
      <c r="G6" s="4">
        <f>F6*D6</f>
        <v/>
      </c>
      <c r="H6" s="2" t="n">
        <v>0.22</v>
      </c>
      <c r="I6" s="4">
        <f>G6*$L$1</f>
        <v/>
      </c>
      <c r="J6" s="4">
        <f>G6+I6</f>
        <v/>
      </c>
    </row>
    <row r="7">
      <c r="A7" t="n">
        <v>5</v>
      </c>
      <c r="B7" t="inlineStr">
        <is>
          <t>1780125020</t>
        </is>
      </c>
      <c r="C7" t="inlineStr">
        <is>
          <t>Фильтр воздушный TOYOTA Camry V70 TOYOTA 17801-250</t>
        </is>
      </c>
      <c r="D7" t="n">
        <v>1</v>
      </c>
      <c r="E7" s="4" t="n">
        <v>780.83</v>
      </c>
      <c r="F7" s="4">
        <f>E7/(1+$L$1)</f>
        <v/>
      </c>
      <c r="G7" s="4">
        <f>F7*D7</f>
        <v/>
      </c>
      <c r="H7" s="2" t="n">
        <v>0.22</v>
      </c>
      <c r="I7" s="4">
        <f>G7*$L$1</f>
        <v/>
      </c>
      <c r="J7" s="4">
        <f>G7+I7</f>
        <v/>
      </c>
    </row>
    <row r="8">
      <c r="A8" t="n">
        <v>6</v>
      </c>
      <c r="B8" t="inlineStr">
        <is>
          <t>1780125020</t>
        </is>
      </c>
      <c r="C8" t="inlineStr">
        <is>
          <t>Фильтр воздушный TOYOTA Camry V70 TOYOTA 17801-250</t>
        </is>
      </c>
      <c r="D8" t="n">
        <v>1</v>
      </c>
      <c r="E8" s="4" t="n">
        <v>780.83</v>
      </c>
      <c r="F8" s="4">
        <f>E8/(1+$L$1)</f>
        <v/>
      </c>
      <c r="G8" s="4">
        <f>F8*D8</f>
        <v/>
      </c>
      <c r="H8" s="2" t="n">
        <v>0.22</v>
      </c>
      <c r="I8" s="4">
        <f>G8*$L$1</f>
        <v/>
      </c>
      <c r="J8" s="4">
        <f>G8+I8</f>
        <v/>
      </c>
    </row>
    <row r="9">
      <c r="A9" t="n">
        <v>7</v>
      </c>
      <c r="B9" t="inlineStr">
        <is>
          <t>1780151020</t>
        </is>
      </c>
      <c r="C9" t="inlineStr">
        <is>
          <t>Фильтр воздушный TOYOTA 17801-51020</t>
        </is>
      </c>
      <c r="D9" t="n">
        <v>1</v>
      </c>
      <c r="E9" s="4" t="n">
        <v>1815.07</v>
      </c>
      <c r="F9" s="4">
        <f>E9/(1+$L$1)</f>
        <v/>
      </c>
      <c r="G9" s="4">
        <f>F9*D9</f>
        <v/>
      </c>
      <c r="H9" s="2" t="n">
        <v>0.22</v>
      </c>
      <c r="I9" s="4">
        <f>G9*$L$1</f>
        <v/>
      </c>
      <c r="J9" s="4">
        <f>G9+I9</f>
        <v/>
      </c>
    </row>
    <row r="10">
      <c r="C10" s="1" t="inlineStr">
        <is>
          <t>ИТОГО</t>
        </is>
      </c>
      <c r="D10" s="1">
        <f>SUM(D3:D9)</f>
        <v/>
      </c>
      <c r="G10" s="1">
        <f>SUM(G3:G9)</f>
        <v/>
      </c>
      <c r="I10" s="1">
        <f>SUM(I3:I9)</f>
        <v/>
      </c>
      <c r="J10" s="1">
        <f>SUM(J3:J9)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2026-07-17T06:04:13Z</dcterms:created>
  <dcterms:modified xsi:type="dcterms:W3CDTF">2026-07-17T06:04:13Z</dcterms:modified>
</cp:coreProperties>
</file>
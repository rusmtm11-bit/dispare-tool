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04152YZZA4</t>
        </is>
      </c>
      <c r="C3" t="inlineStr">
        <is>
          <t>Фильтр масляный TOYOTA 04152-YZZA4</t>
        </is>
      </c>
      <c r="D3" t="n">
        <v>2</v>
      </c>
      <c r="E3" s="4" t="n">
        <v>404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A4" t="n">
        <v>2</v>
      </c>
      <c r="B4" t="inlineStr">
        <is>
          <t>04152YZZA4</t>
        </is>
      </c>
      <c r="C4" t="inlineStr">
        <is>
          <t>Фильтр масляный TOYOTA 04152-YZZA4</t>
        </is>
      </c>
      <c r="D4" t="n">
        <v>3</v>
      </c>
      <c r="E4" s="4" t="n">
        <v>404</v>
      </c>
      <c r="F4" s="4">
        <f>E4/(1+$L$1)</f>
        <v/>
      </c>
      <c r="G4" s="4">
        <f>F4*D4</f>
        <v/>
      </c>
      <c r="H4" s="2" t="n">
        <v>0.22</v>
      </c>
      <c r="I4" s="4">
        <f>G4*$L$1</f>
        <v/>
      </c>
      <c r="J4" s="4">
        <f>G4+I4</f>
        <v/>
      </c>
    </row>
    <row r="5">
      <c r="A5" t="n">
        <v>3</v>
      </c>
      <c r="B5" t="inlineStr">
        <is>
          <t>04152YZZA5</t>
        </is>
      </c>
      <c r="C5" t="inlineStr">
        <is>
          <t>Фильтр масляный (с втулкой) TOYOTA 04152-YZZA5</t>
        </is>
      </c>
      <c r="D5" t="n">
        <v>1</v>
      </c>
      <c r="E5" s="4" t="n">
        <v>402.99</v>
      </c>
      <c r="F5" s="4">
        <f>E5/(1+$L$1)</f>
        <v/>
      </c>
      <c r="G5" s="4">
        <f>F5*D5</f>
        <v/>
      </c>
      <c r="H5" s="2" t="n">
        <v>0.22</v>
      </c>
      <c r="I5" s="4">
        <f>G5*$L$1</f>
        <v/>
      </c>
      <c r="J5" s="4">
        <f>G5+I5</f>
        <v/>
      </c>
    </row>
    <row r="6">
      <c r="A6" t="n">
        <v>4</v>
      </c>
      <c r="B6" t="inlineStr">
        <is>
          <t>1350550030</t>
        </is>
      </c>
      <c r="C6" t="inlineStr">
        <is>
          <t>Ролик TOYOTA 13505-50030</t>
        </is>
      </c>
      <c r="D6" t="n">
        <v>1</v>
      </c>
      <c r="E6" s="4" t="n">
        <v>3267.63</v>
      </c>
      <c r="F6" s="4">
        <f>E6/(1+$L$1)</f>
        <v/>
      </c>
      <c r="G6" s="4">
        <f>F6*D6</f>
        <v/>
      </c>
      <c r="H6" s="2" t="n">
        <v>0.22</v>
      </c>
      <c r="I6" s="4">
        <f>G6*$L$1</f>
        <v/>
      </c>
      <c r="J6" s="4">
        <f>G6+I6</f>
        <v/>
      </c>
    </row>
    <row r="7">
      <c r="A7" t="n">
        <v>5</v>
      </c>
      <c r="B7" t="inlineStr">
        <is>
          <t>1780120040</t>
        </is>
      </c>
      <c r="C7" t="inlineStr">
        <is>
          <t>Фильтр воздушный</t>
        </is>
      </c>
      <c r="D7" t="n">
        <v>1</v>
      </c>
      <c r="E7" s="4" t="n">
        <v>1320.96</v>
      </c>
      <c r="F7" s="4">
        <f>E7/(1+$L$1)</f>
        <v/>
      </c>
      <c r="G7" s="4">
        <f>F7*D7</f>
        <v/>
      </c>
      <c r="H7" s="2" t="n">
        <v>0.22</v>
      </c>
      <c r="I7" s="4">
        <f>G7*$L$1</f>
        <v/>
      </c>
      <c r="J7" s="4">
        <f>G7+I7</f>
        <v/>
      </c>
    </row>
    <row r="8">
      <c r="A8" t="n">
        <v>6</v>
      </c>
      <c r="B8" t="inlineStr">
        <is>
          <t>1780125020</t>
        </is>
      </c>
      <c r="C8" t="inlineStr">
        <is>
          <t>Фильтр воздушный TOYOTA Camry V70 TOYOTA 17801-250</t>
        </is>
      </c>
      <c r="D8" t="n">
        <v>1</v>
      </c>
      <c r="E8" s="4" t="n">
        <v>818.1</v>
      </c>
      <c r="F8" s="4">
        <f>E8/(1+$L$1)</f>
        <v/>
      </c>
      <c r="G8" s="4">
        <f>F8*D8</f>
        <v/>
      </c>
      <c r="H8" s="2" t="n">
        <v>0.22</v>
      </c>
      <c r="I8" s="4">
        <f>G8*$L$1</f>
        <v/>
      </c>
      <c r="J8" s="4">
        <f>G8+I8</f>
        <v/>
      </c>
    </row>
    <row r="9">
      <c r="A9" t="n">
        <v>7</v>
      </c>
      <c r="B9" t="inlineStr">
        <is>
          <t>90915YZZD4</t>
        </is>
      </c>
      <c r="C9" t="inlineStr">
        <is>
          <t>Фильтр масляный TOYOTA 90915-YZZD4</t>
        </is>
      </c>
      <c r="D9" t="n">
        <v>1</v>
      </c>
      <c r="E9" s="4" t="n">
        <v>417.15</v>
      </c>
      <c r="F9" s="4">
        <f>E9/(1+$L$1)</f>
        <v/>
      </c>
      <c r="G9" s="4">
        <f>F9*D9</f>
        <v/>
      </c>
      <c r="H9" s="2" t="n">
        <v>0.22</v>
      </c>
      <c r="I9" s="4">
        <f>G9*$L$1</f>
        <v/>
      </c>
      <c r="J9" s="4">
        <f>G9+I9</f>
        <v/>
      </c>
    </row>
    <row r="10">
      <c r="A10" t="n">
        <v>8</v>
      </c>
      <c r="B10" t="inlineStr">
        <is>
          <t>9091901210</t>
        </is>
      </c>
      <c r="C10" t="inlineStr">
        <is>
          <t>Свеча зажигания TOYOTA 9091901210</t>
        </is>
      </c>
      <c r="D10" t="n">
        <v>4</v>
      </c>
      <c r="E10" s="4" t="n">
        <v>799.53</v>
      </c>
      <c r="F10" s="4">
        <f>E10/(1+$L$1)</f>
        <v/>
      </c>
      <c r="G10" s="4">
        <f>F10*D10</f>
        <v/>
      </c>
      <c r="H10" s="2" t="n">
        <v>0.22</v>
      </c>
      <c r="I10" s="4">
        <f>G10*$L$1</f>
        <v/>
      </c>
      <c r="J10" s="4">
        <f>G10+I10</f>
        <v/>
      </c>
    </row>
    <row r="11">
      <c r="C11" s="1" t="inlineStr">
        <is>
          <t>ИТОГО</t>
        </is>
      </c>
      <c r="D11" s="1">
        <f>SUM(D3:D10)</f>
        <v/>
      </c>
      <c r="G11" s="1">
        <f>SUM(G3:G10)</f>
        <v/>
      </c>
      <c r="I11" s="1">
        <f>SUM(I3:I10)</f>
        <v/>
      </c>
      <c r="J11" s="1">
        <f>SUM(J3:J10)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2026-07-20T10:18:12Z</dcterms:created>
  <dcterms:modified xsi:type="dcterms:W3CDTF">2026-07-20T10:18:12Z</dcterms:modified>
</cp:coreProperties>
</file>
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8" customWidth="1" min="4" max="4"/>
    <col width="15" customWidth="1" min="5" max="5"/>
    <col width="15" customWidth="1" min="6" max="6"/>
    <col width="17" customWidth="1" min="7" max="7"/>
    <col width="9" customWidth="1" min="8" max="8"/>
    <col width="13" customWidth="1" min="9" max="9"/>
    <col width="17" customWidth="1" min="10" max="10"/>
  </cols>
  <sheetData>
    <row r="1">
      <c r="K1" s="1" t="inlineStr">
        <is>
          <t>Ставка НДС →</t>
        </is>
      </c>
      <c r="L1" s="2" t="n">
        <v>0.22</v>
      </c>
    </row>
    <row r="2">
      <c r="A2" s="3" t="inlineStr">
        <is>
          <t>№ п/п</t>
        </is>
      </c>
      <c r="B2" s="3" t="inlineStr">
        <is>
          <t>Артикул</t>
        </is>
      </c>
      <c r="C2" s="3" t="inlineStr">
        <is>
          <t>Наименование</t>
        </is>
      </c>
      <c r="D2" s="3" t="inlineStr">
        <is>
          <t>Кол-во</t>
        </is>
      </c>
      <c r="E2" s="3" t="inlineStr">
        <is>
          <t>Цена с НДС, ₽/ед</t>
        </is>
      </c>
      <c r="F2" s="3" t="inlineStr">
        <is>
          <t>Цена без НДС, ₽/ед</t>
        </is>
      </c>
      <c r="G2" s="3" t="inlineStr">
        <is>
          <t>Стоимость без НДС, ₽</t>
        </is>
      </c>
      <c r="H2" s="3" t="inlineStr">
        <is>
          <t>Ставка НДС</t>
        </is>
      </c>
      <c r="I2" s="3" t="inlineStr">
        <is>
          <t>Сумма НДС, ₽</t>
        </is>
      </c>
      <c r="J2" s="3" t="inlineStr">
        <is>
          <t>Стоимость с НДС, ₽</t>
        </is>
      </c>
    </row>
    <row r="3">
      <c r="A3" t="n">
        <v>1</v>
      </c>
      <c r="B3" t="inlineStr">
        <is>
          <t>1780125020</t>
        </is>
      </c>
      <c r="C3" t="inlineStr">
        <is>
          <t>Фильтр воздушный TOYOTA Camry V70 TOYOTA 1780125020</t>
        </is>
      </c>
      <c r="D3" t="n">
        <v>1</v>
      </c>
      <c r="E3" s="4" t="n">
        <v>818.1</v>
      </c>
      <c r="F3" s="4">
        <f>E3/(1+$L$1)</f>
        <v/>
      </c>
      <c r="G3" s="4">
        <f>F3*D3</f>
        <v/>
      </c>
      <c r="H3" s="2" t="n">
        <v>0.22</v>
      </c>
      <c r="I3" s="4">
        <f>G3*$L$1</f>
        <v/>
      </c>
      <c r="J3" s="4">
        <f>G3+I3</f>
        <v/>
      </c>
    </row>
    <row r="4">
      <c r="C4" s="1" t="inlineStr">
        <is>
          <t>ИТОГО</t>
        </is>
      </c>
      <c r="D4" s="1">
        <f>SUM(D3:D3)</f>
        <v/>
      </c>
      <c r="G4" s="1">
        <f>SUM(G3:G3)</f>
        <v/>
      </c>
      <c r="I4" s="1">
        <f>SUM(I3:I3)</f>
        <v/>
      </c>
      <c r="J4" s="1">
        <f>SUM(J3:J3)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2026-07-17T11:06:12Z</dcterms:created>
  <dcterms:modified xsi:type="dcterms:W3CDTF">2026-07-17T11:06:12Z</dcterms:modified>
</cp:coreProperties>
</file>